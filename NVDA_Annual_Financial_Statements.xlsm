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utsetmed-my.sharepoint.com/personal/sisingh_outsetmedical_com/Documents/Documents/Personal/Coursework/Finance Course/Income Statements Analysis/"/>
    </mc:Choice>
  </mc:AlternateContent>
  <xr:revisionPtr revIDLastSave="2952" documentId="8_{8979F897-8954-4419-9ED5-38F206036EDD}" xr6:coauthVersionLast="47" xr6:coauthVersionMax="47" xr10:uidLastSave="{8C883732-70E1-41A6-BE3B-6CEF3F94EACD}"/>
  <bookViews>
    <workbookView xWindow="28680" yWindow="45" windowWidth="29040" windowHeight="15840" xr2:uid="{00000000-000D-0000-FFFF-FFFF00000000}"/>
  </bookViews>
  <sheets>
    <sheet name="Income Statement" sheetId="1" r:id="rId1"/>
    <sheet name="Balance Sheet" sheetId="2" r:id="rId2"/>
    <sheet name="Cash Flow Statement" sheetId="3" r:id="rId3"/>
    <sheet name="Metrics" sheetId="28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6" i="28" l="1"/>
  <c r="F35" i="28"/>
  <c r="E35" i="28"/>
  <c r="D35" i="28"/>
  <c r="C35" i="28"/>
  <c r="B35" i="28"/>
  <c r="F34" i="28"/>
  <c r="E34" i="28"/>
  <c r="D34" i="28"/>
  <c r="C34" i="28"/>
  <c r="B34" i="28"/>
  <c r="F33" i="28"/>
  <c r="E33" i="28"/>
  <c r="D33" i="28"/>
  <c r="C33" i="28"/>
  <c r="B33" i="28"/>
  <c r="E30" i="28"/>
  <c r="D30" i="28"/>
  <c r="C30" i="28"/>
  <c r="B30" i="28"/>
  <c r="F29" i="28"/>
  <c r="E29" i="28"/>
  <c r="D29" i="28"/>
  <c r="C29" i="28"/>
  <c r="B29" i="28"/>
  <c r="F28" i="28"/>
  <c r="E28" i="28"/>
  <c r="D28" i="28"/>
  <c r="C28" i="28"/>
  <c r="B28" i="28"/>
  <c r="F27" i="28"/>
  <c r="E27" i="28"/>
  <c r="D27" i="28"/>
  <c r="C27" i="28"/>
  <c r="B27" i="28"/>
  <c r="E24" i="28"/>
  <c r="D24" i="28"/>
  <c r="C24" i="28"/>
  <c r="B24" i="28"/>
  <c r="E23" i="28"/>
  <c r="D23" i="28"/>
  <c r="C23" i="28"/>
  <c r="B23" i="28"/>
  <c r="F22" i="28"/>
  <c r="E22" i="28"/>
  <c r="D22" i="28"/>
  <c r="C22" i="28"/>
  <c r="B22" i="28"/>
  <c r="F21" i="28"/>
  <c r="E21" i="28"/>
  <c r="D21" i="28"/>
  <c r="C21" i="28"/>
  <c r="B21" i="28"/>
  <c r="F20" i="28"/>
  <c r="E20" i="28"/>
  <c r="D20" i="28"/>
  <c r="C20" i="28"/>
  <c r="B20" i="28"/>
  <c r="F19" i="28"/>
  <c r="E19" i="28"/>
  <c r="D19" i="28"/>
  <c r="C19" i="28"/>
  <c r="B19" i="28"/>
  <c r="F16" i="28"/>
  <c r="E16" i="28"/>
  <c r="D16" i="28"/>
  <c r="C16" i="28"/>
  <c r="B16" i="28"/>
  <c r="F15" i="28"/>
  <c r="E15" i="28"/>
  <c r="D15" i="28"/>
  <c r="C15" i="28"/>
  <c r="B15" i="28"/>
  <c r="F14" i="28"/>
  <c r="E14" i="28"/>
  <c r="D14" i="28"/>
  <c r="C14" i="28"/>
  <c r="B14" i="28"/>
  <c r="F13" i="28"/>
  <c r="E13" i="28"/>
  <c r="D13" i="28"/>
  <c r="C13" i="28"/>
  <c r="B13" i="28"/>
  <c r="F12" i="28"/>
  <c r="E12" i="28"/>
  <c r="D12" i="28"/>
  <c r="C12" i="28"/>
  <c r="B12" i="28"/>
  <c r="F9" i="28"/>
  <c r="E9" i="28"/>
  <c r="D9" i="28"/>
  <c r="C9" i="28"/>
  <c r="B9" i="28"/>
  <c r="F8" i="28"/>
  <c r="E8" i="28"/>
  <c r="D8" i="28"/>
  <c r="C8" i="28"/>
  <c r="B8" i="28"/>
  <c r="E7" i="28"/>
  <c r="D7" i="28"/>
  <c r="C7" i="28"/>
  <c r="B7" i="28"/>
  <c r="F6" i="28"/>
  <c r="E6" i="28"/>
  <c r="D6" i="28"/>
  <c r="C6" i="28"/>
  <c r="B6" i="28"/>
  <c r="B5" i="28"/>
  <c r="E4" i="28"/>
  <c r="D4" i="28"/>
  <c r="C4" i="28"/>
  <c r="B4" i="28"/>
  <c r="F3" i="28"/>
  <c r="E3" i="28"/>
  <c r="D3" i="28"/>
  <c r="C3" i="28"/>
  <c r="B3" i="28"/>
  <c r="A3" i="28"/>
</calcChain>
</file>

<file path=xl/sharedStrings.xml><?xml version="1.0" encoding="utf-8"?>
<sst xmlns="http://schemas.openxmlformats.org/spreadsheetml/2006/main" count="272" uniqueCount="159">
  <si>
    <t>2023-01-29</t>
  </si>
  <si>
    <t>2022-01-30</t>
  </si>
  <si>
    <t>2021-01-31</t>
  </si>
  <si>
    <t>2020-01-26</t>
  </si>
  <si>
    <t>2019-01-27</t>
  </si>
  <si>
    <t>symbol</t>
  </si>
  <si>
    <t>NVDA</t>
  </si>
  <si>
    <t>reportedCurrency</t>
  </si>
  <si>
    <t>USD</t>
  </si>
  <si>
    <t>cik</t>
  </si>
  <si>
    <t>0001045810</t>
  </si>
  <si>
    <t>fillingDate</t>
  </si>
  <si>
    <t>2023-02-24</t>
  </si>
  <si>
    <t>2022-03-18</t>
  </si>
  <si>
    <t>2021-02-26</t>
  </si>
  <si>
    <t>2020-02-20</t>
  </si>
  <si>
    <t>2019-02-21</t>
  </si>
  <si>
    <t>acceptedDate</t>
  </si>
  <si>
    <t>2023-02-24 17:23:43</t>
  </si>
  <si>
    <t>2022-03-17 20:33:34</t>
  </si>
  <si>
    <t>2021-02-26 17:03:14</t>
  </si>
  <si>
    <t>2020-02-20 16:38:18</t>
  </si>
  <si>
    <t>2019-02-21 16:37:18</t>
  </si>
  <si>
    <t>calendarYear</t>
  </si>
  <si>
    <t>2023</t>
  </si>
  <si>
    <t>2022</t>
  </si>
  <si>
    <t>2021</t>
  </si>
  <si>
    <t>2020</t>
  </si>
  <si>
    <t>2019</t>
  </si>
  <si>
    <t>period</t>
  </si>
  <si>
    <t>FY</t>
  </si>
  <si>
    <t>revenue</t>
  </si>
  <si>
    <t>costOfRevenue</t>
  </si>
  <si>
    <t>grossProfit</t>
  </si>
  <si>
    <t>grossProfitRatio</t>
  </si>
  <si>
    <t>researchAndDevelopmentExpenses</t>
  </si>
  <si>
    <t>generalAndAdministrativeExpenses</t>
  </si>
  <si>
    <t>sellingAndMarketingExpenses</t>
  </si>
  <si>
    <t>sellingGeneralAndAdministrativeExpenses</t>
  </si>
  <si>
    <t>otherExpenses</t>
  </si>
  <si>
    <t>operatingExpenses</t>
  </si>
  <si>
    <t>costAndExpenses</t>
  </si>
  <si>
    <t>interestIncome</t>
  </si>
  <si>
    <t>interestExpense</t>
  </si>
  <si>
    <t>depreciationAndAmortization</t>
  </si>
  <si>
    <t>ebitda</t>
  </si>
  <si>
    <t>ebitdaratio</t>
  </si>
  <si>
    <t>operatingIncome</t>
  </si>
  <si>
    <t>operatingIncomeRatio</t>
  </si>
  <si>
    <t>totalOtherIncomeExpensesNet</t>
  </si>
  <si>
    <t>incomeBeforeTax</t>
  </si>
  <si>
    <t>incomeBeforeTaxRatio</t>
  </si>
  <si>
    <t>incomeTaxExpense</t>
  </si>
  <si>
    <t>netIncome</t>
  </si>
  <si>
    <t>netIncomeRatio</t>
  </si>
  <si>
    <t>eps</t>
  </si>
  <si>
    <t>epsdiluted</t>
  </si>
  <si>
    <t>weightedAverageShsOut</t>
  </si>
  <si>
    <t>weightedAverageShsOutDil</t>
  </si>
  <si>
    <t>cashAndCashEquivalents</t>
  </si>
  <si>
    <t>shortTermInvestments</t>
  </si>
  <si>
    <t>cashAndShortTermInvestments</t>
  </si>
  <si>
    <t>netReceivables</t>
  </si>
  <si>
    <t>inventory</t>
  </si>
  <si>
    <t>otherCurrentAssets</t>
  </si>
  <si>
    <t>totalCurrentAssets</t>
  </si>
  <si>
    <t>propertyPlantEquipmentNet</t>
  </si>
  <si>
    <t>goodwill</t>
  </si>
  <si>
    <t>intangibleAssets</t>
  </si>
  <si>
    <t>goodwillAndIntangibleAssets</t>
  </si>
  <si>
    <t>longTermInvestments</t>
  </si>
  <si>
    <t>taxAssets</t>
  </si>
  <si>
    <t>otherNonCurrentAssets</t>
  </si>
  <si>
    <t>totalNonCurrentAssets</t>
  </si>
  <si>
    <t>otherAssets</t>
  </si>
  <si>
    <t>totalAssets</t>
  </si>
  <si>
    <t>accountPayables</t>
  </si>
  <si>
    <t>shortTermDebt</t>
  </si>
  <si>
    <t>taxPayables</t>
  </si>
  <si>
    <t>deferredRevenue</t>
  </si>
  <si>
    <t>otherCurrentLiabilities</t>
  </si>
  <si>
    <t>totalCurrentLiabilities</t>
  </si>
  <si>
    <t>longTermDebt</t>
  </si>
  <si>
    <t>deferredRevenueNonCurrent</t>
  </si>
  <si>
    <t>deferredTaxLiabilitiesNonCurrent</t>
  </si>
  <si>
    <t>otherNonCurrentLiabilities</t>
  </si>
  <si>
    <t>totalNonCurrentLiabilities</t>
  </si>
  <si>
    <t>otherLiabilities</t>
  </si>
  <si>
    <t>capitalLeaseObligations</t>
  </si>
  <si>
    <t>totalLiabilities</t>
  </si>
  <si>
    <t>preferredStock</t>
  </si>
  <si>
    <t>commonStock</t>
  </si>
  <si>
    <t>retainedEarnings</t>
  </si>
  <si>
    <t>accumulatedOtherComprehensiveIncomeLoss</t>
  </si>
  <si>
    <t>othertotalStockholdersEquity</t>
  </si>
  <si>
    <t>totalStockholdersEquity</t>
  </si>
  <si>
    <t>totalEquity</t>
  </si>
  <si>
    <t>totalLiabilitiesAndStockholdersEquity</t>
  </si>
  <si>
    <t>minorityInterest</t>
  </si>
  <si>
    <t>totalLiabilitiesAndTotalEquity</t>
  </si>
  <si>
    <t>totalInvestments</t>
  </si>
  <si>
    <t>totalDebt</t>
  </si>
  <si>
    <t>netDebt</t>
  </si>
  <si>
    <t>deferredIncomeTax</t>
  </si>
  <si>
    <t>stockBasedCompensation</t>
  </si>
  <si>
    <t>changeInWorkingCapital</t>
  </si>
  <si>
    <t>accountsReceivables</t>
  </si>
  <si>
    <t>accountsPayables</t>
  </si>
  <si>
    <t>otherWorkingCapital</t>
  </si>
  <si>
    <t>otherNonCashItems</t>
  </si>
  <si>
    <t>netCashProvidedByOperatingActivities</t>
  </si>
  <si>
    <t>investmentsInPropertyPlantAndEquipment</t>
  </si>
  <si>
    <t>acquisitionsNet</t>
  </si>
  <si>
    <t>purchasesOfInvestments</t>
  </si>
  <si>
    <t>salesMaturitiesOfInvestments</t>
  </si>
  <si>
    <t>otherInvestingActivites</t>
  </si>
  <si>
    <t>netCashUsedForInvestingActivites</t>
  </si>
  <si>
    <t>debtRepayment</t>
  </si>
  <si>
    <t>commonStockIssued</t>
  </si>
  <si>
    <t>commonStockRepurchased</t>
  </si>
  <si>
    <t>dividendsPaid</t>
  </si>
  <si>
    <t>otherFinancingActivites</t>
  </si>
  <si>
    <t>netCashUsedProvidedByFinancingActivities</t>
  </si>
  <si>
    <t>effectOfForexChangesOnCash</t>
  </si>
  <si>
    <t>netChangeInCash</t>
  </si>
  <si>
    <t>cashAtEndOfPeriod</t>
  </si>
  <si>
    <t>cashAtBeginningOfPeriod</t>
  </si>
  <si>
    <t>operatingCashFlow</t>
  </si>
  <si>
    <t>capitalExpenditure</t>
  </si>
  <si>
    <t>freeCashFlow</t>
  </si>
  <si>
    <t>YoY Growth</t>
  </si>
  <si>
    <t>CAGR</t>
  </si>
  <si>
    <t>EPS</t>
  </si>
  <si>
    <t>EPS Growth</t>
  </si>
  <si>
    <t>Operating Income</t>
  </si>
  <si>
    <t>Operating Profit Margin</t>
  </si>
  <si>
    <t>Profitability Ratios</t>
  </si>
  <si>
    <t>Gross Profit Margin</t>
  </si>
  <si>
    <t>Pretax Margin</t>
  </si>
  <si>
    <t>Net Profit Margin</t>
  </si>
  <si>
    <t>ROA</t>
  </si>
  <si>
    <t>ROE</t>
  </si>
  <si>
    <t>Activity Ratios</t>
  </si>
  <si>
    <t>Inventory Turnover</t>
  </si>
  <si>
    <t>Days on Hand (DOH)</t>
  </si>
  <si>
    <t>Receivables Turnover</t>
  </si>
  <si>
    <t>Days Sales Outstanding (DSO)</t>
  </si>
  <si>
    <t>Payables Turnover</t>
  </si>
  <si>
    <t>Days Payable</t>
  </si>
  <si>
    <t>Liquidity Ratios</t>
  </si>
  <si>
    <t>Current Ratio</t>
  </si>
  <si>
    <t>Quick Ratio</t>
  </si>
  <si>
    <t>Cash Ratio</t>
  </si>
  <si>
    <t>Cash Conversion Cycle</t>
  </si>
  <si>
    <t>Solvency Ratios</t>
  </si>
  <si>
    <t>Debt to Assets Ratio</t>
  </si>
  <si>
    <t>Debt to Capital Ratio</t>
  </si>
  <si>
    <t>Debt to Equity Ratio</t>
  </si>
  <si>
    <t>Financial Leverage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</si>
</sst>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3" formatCode="&quot;$&quot;#,##0"/>
  </numFmts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2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tabSelected="1" zoomScaleNormal="100" workbookViewId="0">
      <selection activeCell="C22" sqref="C22"/>
    </sheetView>
  </sheetViews>
  <sheetFormatPr defaultRowHeight="15" x14ac:dyDescent="0.25"/>
  <cols>
    <col min="1" max="1" width="40" bestFit="1" customWidth="1"/>
    <col min="2" max="6" width="18.28515625" bestFit="1" customWidth="1"/>
    <col min="7" max="7" width="11" bestFit="1" customWidth="1"/>
    <col min="8" max="8" width="14.7109375" bestFit="1" customWidth="1"/>
  </cols>
  <sheetData>
    <row r="1" spans="1:6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25">
      <c r="A2" s="1" t="s">
        <v>5</v>
      </c>
      <c r="B2" t="s">
        <v>6</v>
      </c>
      <c r="C2" t="s">
        <v>6</v>
      </c>
      <c r="D2" t="s">
        <v>6</v>
      </c>
      <c r="E2" t="s">
        <v>6</v>
      </c>
      <c r="F2" t="s">
        <v>6</v>
      </c>
    </row>
    <row r="3" spans="1:6" x14ac:dyDescent="0.25">
      <c r="A3" s="1" t="s">
        <v>7</v>
      </c>
      <c r="B3" t="s">
        <v>8</v>
      </c>
      <c r="C3" t="s">
        <v>8</v>
      </c>
      <c r="D3" t="s">
        <v>8</v>
      </c>
      <c r="E3" t="s">
        <v>8</v>
      </c>
      <c r="F3" t="s">
        <v>8</v>
      </c>
    </row>
    <row r="4" spans="1:6" x14ac:dyDescent="0.25">
      <c r="A4" s="1" t="s">
        <v>9</v>
      </c>
      <c r="B4" t="s">
        <v>10</v>
      </c>
      <c r="C4" t="s">
        <v>10</v>
      </c>
      <c r="D4" t="s">
        <v>10</v>
      </c>
      <c r="E4" t="s">
        <v>10</v>
      </c>
      <c r="F4" t="s">
        <v>10</v>
      </c>
    </row>
    <row r="5" spans="1:6" x14ac:dyDescent="0.25">
      <c r="A5" s="1" t="s">
        <v>11</v>
      </c>
      <c r="B5" t="s">
        <v>12</v>
      </c>
      <c r="C5" t="s">
        <v>13</v>
      </c>
      <c r="D5" t="s">
        <v>14</v>
      </c>
      <c r="E5" t="s">
        <v>15</v>
      </c>
      <c r="F5" t="s">
        <v>16</v>
      </c>
    </row>
    <row r="6" spans="1:6" x14ac:dyDescent="0.25">
      <c r="A6" s="1" t="s">
        <v>17</v>
      </c>
      <c r="B6" t="s">
        <v>18</v>
      </c>
      <c r="C6" t="s">
        <v>19</v>
      </c>
      <c r="D6" t="s">
        <v>20</v>
      </c>
      <c r="E6" t="s">
        <v>21</v>
      </c>
      <c r="F6" t="s">
        <v>22</v>
      </c>
    </row>
    <row r="7" spans="1:6" x14ac:dyDescent="0.25">
      <c r="A7" s="1" t="s">
        <v>23</v>
      </c>
      <c r="B7" t="s">
        <v>24</v>
      </c>
      <c r="C7" t="s">
        <v>25</v>
      </c>
      <c r="D7" t="s">
        <v>26</v>
      </c>
      <c r="E7" t="s">
        <v>27</v>
      </c>
      <c r="F7" t="s">
        <v>28</v>
      </c>
    </row>
    <row r="8" spans="1:6" x14ac:dyDescent="0.25">
      <c r="A8" s="1" t="s">
        <v>29</v>
      </c>
      <c r="B8" t="s">
        <v>30</v>
      </c>
      <c r="C8" t="s">
        <v>30</v>
      </c>
      <c r="D8" t="s">
        <v>30</v>
      </c>
      <c r="E8" t="s">
        <v>30</v>
      </c>
      <c r="F8" t="s">
        <v>30</v>
      </c>
    </row>
    <row r="9" spans="1:6" x14ac:dyDescent="0.25">
      <c r="A9" s="1" t="s">
        <v>31</v>
      </c>
      <c r="B9">
        <v>26974000000</v>
      </c>
      <c r="C9">
        <v>26914000000</v>
      </c>
      <c r="D9">
        <v>16675000000</v>
      </c>
      <c r="E9">
        <v>10918000000</v>
      </c>
      <c r="F9">
        <v>11716000000</v>
      </c>
    </row>
    <row r="10" spans="1:6" x14ac:dyDescent="0.25">
      <c r="A10" s="1" t="s">
        <v>32</v>
      </c>
      <c r="B10">
        <v>11618000000</v>
      </c>
      <c r="C10">
        <v>9439000000</v>
      </c>
      <c r="D10">
        <v>6279000000</v>
      </c>
      <c r="E10">
        <v>4150000000</v>
      </c>
      <c r="F10">
        <v>4545000000</v>
      </c>
    </row>
    <row r="11" spans="1:6" x14ac:dyDescent="0.25">
      <c r="A11" s="1" t="s">
        <v>33</v>
      </c>
      <c r="B11">
        <v>15356000000</v>
      </c>
      <c r="C11">
        <v>17475000000</v>
      </c>
      <c r="D11">
        <v>10396000000</v>
      </c>
      <c r="E11">
        <v>6768000000</v>
      </c>
      <c r="F11">
        <v>7171000000</v>
      </c>
    </row>
    <row r="12" spans="1:6" x14ac:dyDescent="0.25">
      <c r="A12" s="1" t="s">
        <v>34</v>
      </c>
      <c r="B12">
        <v>0.56928894490000004</v>
      </c>
      <c r="C12">
        <v>0.64929033219999999</v>
      </c>
      <c r="D12">
        <v>0.62344827589999996</v>
      </c>
      <c r="E12">
        <v>0.61989375339999997</v>
      </c>
      <c r="F12">
        <v>0.61206896550000001</v>
      </c>
    </row>
    <row r="13" spans="1:6" x14ac:dyDescent="0.25">
      <c r="A13" s="1" t="s">
        <v>35</v>
      </c>
      <c r="B13">
        <v>7339000000</v>
      </c>
      <c r="C13">
        <v>5268000000</v>
      </c>
      <c r="D13">
        <v>3924000000</v>
      </c>
      <c r="E13">
        <v>2829000000</v>
      </c>
      <c r="F13">
        <v>2376000000</v>
      </c>
    </row>
    <row r="14" spans="1:6" x14ac:dyDescent="0.25">
      <c r="A14" s="1" t="s">
        <v>36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 x14ac:dyDescent="0.25">
      <c r="A15" s="1" t="s">
        <v>37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5">
      <c r="A16" s="1" t="s">
        <v>38</v>
      </c>
      <c r="B16">
        <v>2440000000</v>
      </c>
      <c r="C16">
        <v>2166000000</v>
      </c>
      <c r="D16">
        <v>1940000000</v>
      </c>
      <c r="E16">
        <v>1093000000</v>
      </c>
      <c r="F16">
        <v>991000000</v>
      </c>
    </row>
    <row r="17" spans="1:6" x14ac:dyDescent="0.25">
      <c r="A17" s="1" t="s">
        <v>39</v>
      </c>
      <c r="B17">
        <v>-48000000</v>
      </c>
      <c r="C17">
        <v>107000000</v>
      </c>
      <c r="D17">
        <v>4000000</v>
      </c>
      <c r="E17">
        <v>-2000000</v>
      </c>
      <c r="F17">
        <v>14000000</v>
      </c>
    </row>
    <row r="18" spans="1:6" x14ac:dyDescent="0.25">
      <c r="A18" s="1" t="s">
        <v>40</v>
      </c>
      <c r="B18">
        <v>9779000000</v>
      </c>
      <c r="C18">
        <v>7434000000</v>
      </c>
      <c r="D18">
        <v>5864000000</v>
      </c>
      <c r="E18">
        <v>3922000000</v>
      </c>
      <c r="F18">
        <v>3367000000</v>
      </c>
    </row>
    <row r="19" spans="1:6" x14ac:dyDescent="0.25">
      <c r="A19" s="1" t="s">
        <v>41</v>
      </c>
      <c r="B19">
        <v>21397000000</v>
      </c>
      <c r="C19">
        <v>16873000000</v>
      </c>
      <c r="D19">
        <v>12143000000</v>
      </c>
      <c r="E19">
        <v>8072000000</v>
      </c>
      <c r="F19">
        <v>7912000000</v>
      </c>
    </row>
    <row r="20" spans="1:6" x14ac:dyDescent="0.25">
      <c r="A20" s="1" t="s">
        <v>42</v>
      </c>
      <c r="B20">
        <v>267000000</v>
      </c>
      <c r="C20">
        <v>29000000</v>
      </c>
      <c r="D20">
        <v>57000000</v>
      </c>
      <c r="E20">
        <v>178000000</v>
      </c>
      <c r="F20">
        <v>136000000</v>
      </c>
    </row>
    <row r="21" spans="1:6" x14ac:dyDescent="0.25">
      <c r="A21" s="1" t="s">
        <v>43</v>
      </c>
      <c r="B21">
        <v>262000000</v>
      </c>
      <c r="C21">
        <v>236000000</v>
      </c>
      <c r="D21">
        <v>184000000</v>
      </c>
      <c r="E21">
        <v>52000000</v>
      </c>
      <c r="F21">
        <v>58000000</v>
      </c>
    </row>
    <row r="22" spans="1:6" x14ac:dyDescent="0.25">
      <c r="A22" s="1" t="s">
        <v>44</v>
      </c>
      <c r="B22">
        <v>1544000000</v>
      </c>
      <c r="C22">
        <v>1310000000</v>
      </c>
      <c r="D22">
        <v>1159000000</v>
      </c>
      <c r="E22">
        <v>557000000</v>
      </c>
      <c r="F22">
        <v>262000000</v>
      </c>
    </row>
    <row r="23" spans="1:6" x14ac:dyDescent="0.25">
      <c r="A23" s="1" t="s">
        <v>45</v>
      </c>
      <c r="B23">
        <v>7340000000</v>
      </c>
      <c r="C23">
        <v>11351000000</v>
      </c>
      <c r="D23">
        <v>5691000000</v>
      </c>
      <c r="E23">
        <v>3403000000</v>
      </c>
      <c r="F23">
        <v>3954000000</v>
      </c>
    </row>
    <row r="24" spans="1:6" x14ac:dyDescent="0.25">
      <c r="A24" s="1" t="s">
        <v>46</v>
      </c>
      <c r="B24">
        <v>0.27211388739999998</v>
      </c>
      <c r="C24">
        <v>0.42175076169999998</v>
      </c>
      <c r="D24">
        <v>0.34128935529999999</v>
      </c>
      <c r="E24">
        <v>0.3116871222</v>
      </c>
      <c r="F24">
        <v>0.33748719700000002</v>
      </c>
    </row>
    <row r="25" spans="1:6" x14ac:dyDescent="0.25">
      <c r="A25" s="1" t="s">
        <v>47</v>
      </c>
      <c r="B25">
        <v>4224000000</v>
      </c>
      <c r="C25">
        <v>10041000000</v>
      </c>
      <c r="D25">
        <v>4532000000</v>
      </c>
      <c r="E25">
        <v>2846000000</v>
      </c>
      <c r="F25">
        <v>3804000000</v>
      </c>
    </row>
    <row r="26" spans="1:6" x14ac:dyDescent="0.25">
      <c r="A26" s="1" t="s">
        <v>48</v>
      </c>
      <c r="B26">
        <v>0.15659523989999999</v>
      </c>
      <c r="C26">
        <v>0.37307720890000001</v>
      </c>
      <c r="D26">
        <v>0.27178410790000002</v>
      </c>
      <c r="E26">
        <v>0.26067045249999998</v>
      </c>
      <c r="F26">
        <v>0.32468419259999998</v>
      </c>
    </row>
    <row r="27" spans="1:6" x14ac:dyDescent="0.25">
      <c r="A27" s="1" t="s">
        <v>49</v>
      </c>
      <c r="B27">
        <v>-1615000000</v>
      </c>
      <c r="C27">
        <v>-100000000</v>
      </c>
      <c r="D27">
        <v>-123000000</v>
      </c>
      <c r="E27">
        <v>124000000</v>
      </c>
      <c r="F27">
        <v>14000000</v>
      </c>
    </row>
    <row r="28" spans="1:6" x14ac:dyDescent="0.25">
      <c r="A28" s="1" t="s">
        <v>50</v>
      </c>
      <c r="B28">
        <v>4181000000</v>
      </c>
      <c r="C28">
        <v>9941000000</v>
      </c>
      <c r="D28">
        <v>4409000000</v>
      </c>
      <c r="E28">
        <v>2970000000</v>
      </c>
      <c r="F28">
        <v>3896000000</v>
      </c>
    </row>
    <row r="29" spans="1:6" x14ac:dyDescent="0.25">
      <c r="A29" s="1" t="s">
        <v>51</v>
      </c>
      <c r="B29">
        <v>0.15500111220000001</v>
      </c>
      <c r="C29">
        <v>0.36936167050000002</v>
      </c>
      <c r="D29">
        <v>0.26440779609999998</v>
      </c>
      <c r="E29">
        <v>0.27202784390000001</v>
      </c>
      <c r="F29">
        <v>0.33253670190000001</v>
      </c>
    </row>
    <row r="30" spans="1:6" x14ac:dyDescent="0.25">
      <c r="A30" s="1" t="s">
        <v>52</v>
      </c>
      <c r="B30">
        <v>-187000000</v>
      </c>
      <c r="C30">
        <v>189000000</v>
      </c>
      <c r="D30">
        <v>77000000</v>
      </c>
      <c r="E30">
        <v>174000000</v>
      </c>
      <c r="F30">
        <v>-245000000</v>
      </c>
    </row>
    <row r="31" spans="1:6" x14ac:dyDescent="0.25">
      <c r="A31" s="1" t="s">
        <v>53</v>
      </c>
      <c r="B31">
        <v>4368000000</v>
      </c>
      <c r="C31">
        <v>9752000000</v>
      </c>
      <c r="D31">
        <v>4332000000</v>
      </c>
      <c r="E31">
        <v>2796000000</v>
      </c>
      <c r="F31">
        <v>4141000000</v>
      </c>
    </row>
    <row r="32" spans="1:6" x14ac:dyDescent="0.25">
      <c r="A32" s="1" t="s">
        <v>54</v>
      </c>
      <c r="B32">
        <v>0.1619337139</v>
      </c>
      <c r="C32">
        <v>0.362339303</v>
      </c>
      <c r="D32">
        <v>0.25979010489999999</v>
      </c>
      <c r="E32">
        <v>0.25609085910000001</v>
      </c>
      <c r="F32">
        <v>0.3534482759</v>
      </c>
    </row>
    <row r="33" spans="1:6" x14ac:dyDescent="0.25">
      <c r="A33" s="1" t="s">
        <v>55</v>
      </c>
      <c r="B33">
        <v>1.76</v>
      </c>
      <c r="C33">
        <v>3.91</v>
      </c>
      <c r="D33">
        <v>1.76</v>
      </c>
      <c r="E33">
        <v>1.1499999999999999</v>
      </c>
      <c r="F33">
        <v>1.7</v>
      </c>
    </row>
    <row r="34" spans="1:6" x14ac:dyDescent="0.25">
      <c r="A34" s="1" t="s">
        <v>56</v>
      </c>
      <c r="B34">
        <v>1.74</v>
      </c>
      <c r="C34">
        <v>3.85</v>
      </c>
      <c r="D34">
        <v>1.73</v>
      </c>
      <c r="E34">
        <v>1.1299999999999999</v>
      </c>
      <c r="F34">
        <v>1.66</v>
      </c>
    </row>
    <row r="35" spans="1:6" x14ac:dyDescent="0.25">
      <c r="A35" s="1" t="s">
        <v>57</v>
      </c>
      <c r="B35">
        <v>2487000000</v>
      </c>
      <c r="C35">
        <v>2496000000</v>
      </c>
      <c r="D35">
        <v>2468000000</v>
      </c>
      <c r="E35">
        <v>2436000000</v>
      </c>
      <c r="F35">
        <v>2432000000</v>
      </c>
    </row>
    <row r="36" spans="1:6" x14ac:dyDescent="0.25">
      <c r="A36" s="1" t="s">
        <v>58</v>
      </c>
      <c r="B36">
        <v>2507000000</v>
      </c>
      <c r="C36">
        <v>2535000000</v>
      </c>
      <c r="D36">
        <v>2512000000</v>
      </c>
      <c r="E36">
        <v>2472000000</v>
      </c>
      <c r="F36">
        <v>2500000000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2"/>
  <sheetViews>
    <sheetView topLeftCell="A22" workbookViewId="0">
      <selection activeCell="B46" sqref="B46:F46"/>
    </sheetView>
  </sheetViews>
  <sheetFormatPr defaultRowHeight="15" x14ac:dyDescent="0.25"/>
  <cols>
    <col min="1" max="1" width="42.85546875" bestFit="1" customWidth="1"/>
    <col min="2" max="6" width="18.28515625" bestFit="1" customWidth="1"/>
    <col min="8" max="8" width="12" bestFit="1" customWidth="1"/>
  </cols>
  <sheetData>
    <row r="1" spans="1:6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25">
      <c r="A2" s="1" t="s">
        <v>5</v>
      </c>
      <c r="B2" t="s">
        <v>6</v>
      </c>
      <c r="C2" t="s">
        <v>6</v>
      </c>
      <c r="D2" t="s">
        <v>6</v>
      </c>
      <c r="E2" t="s">
        <v>6</v>
      </c>
      <c r="F2" t="s">
        <v>6</v>
      </c>
    </row>
    <row r="3" spans="1:6" x14ac:dyDescent="0.25">
      <c r="A3" s="1" t="s">
        <v>7</v>
      </c>
      <c r="B3" t="s">
        <v>8</v>
      </c>
      <c r="C3" t="s">
        <v>8</v>
      </c>
      <c r="D3" t="s">
        <v>8</v>
      </c>
      <c r="E3" t="s">
        <v>8</v>
      </c>
      <c r="F3" t="s">
        <v>8</v>
      </c>
    </row>
    <row r="4" spans="1:6" x14ac:dyDescent="0.25">
      <c r="A4" s="1" t="s">
        <v>9</v>
      </c>
      <c r="B4" t="s">
        <v>10</v>
      </c>
      <c r="C4" t="s">
        <v>10</v>
      </c>
      <c r="D4" t="s">
        <v>10</v>
      </c>
      <c r="E4" t="s">
        <v>10</v>
      </c>
      <c r="F4" t="s">
        <v>10</v>
      </c>
    </row>
    <row r="5" spans="1:6" x14ac:dyDescent="0.25">
      <c r="A5" s="1" t="s">
        <v>11</v>
      </c>
      <c r="B5" t="s">
        <v>12</v>
      </c>
      <c r="C5" t="s">
        <v>13</v>
      </c>
      <c r="D5" t="s">
        <v>14</v>
      </c>
      <c r="E5" t="s">
        <v>15</v>
      </c>
      <c r="F5" t="s">
        <v>16</v>
      </c>
    </row>
    <row r="6" spans="1:6" x14ac:dyDescent="0.25">
      <c r="A6" s="1" t="s">
        <v>17</v>
      </c>
      <c r="B6" t="s">
        <v>18</v>
      </c>
      <c r="C6" t="s">
        <v>19</v>
      </c>
      <c r="D6" t="s">
        <v>20</v>
      </c>
      <c r="E6" t="s">
        <v>21</v>
      </c>
      <c r="F6" t="s">
        <v>22</v>
      </c>
    </row>
    <row r="7" spans="1:6" x14ac:dyDescent="0.25">
      <c r="A7" s="1" t="s">
        <v>23</v>
      </c>
      <c r="B7" t="s">
        <v>24</v>
      </c>
      <c r="C7" t="s">
        <v>25</v>
      </c>
      <c r="D7" t="s">
        <v>26</v>
      </c>
      <c r="E7" t="s">
        <v>27</v>
      </c>
      <c r="F7" t="s">
        <v>28</v>
      </c>
    </row>
    <row r="8" spans="1:6" x14ac:dyDescent="0.25">
      <c r="A8" s="1" t="s">
        <v>29</v>
      </c>
      <c r="B8" t="s">
        <v>30</v>
      </c>
      <c r="C8" t="s">
        <v>30</v>
      </c>
      <c r="D8" t="s">
        <v>30</v>
      </c>
      <c r="E8" t="s">
        <v>30</v>
      </c>
      <c r="F8" t="s">
        <v>30</v>
      </c>
    </row>
    <row r="9" spans="1:6" x14ac:dyDescent="0.25">
      <c r="A9" s="1" t="s">
        <v>59</v>
      </c>
      <c r="B9">
        <v>3389000000</v>
      </c>
      <c r="C9">
        <v>1990000000</v>
      </c>
      <c r="D9">
        <v>847000000</v>
      </c>
      <c r="E9">
        <v>10896000000</v>
      </c>
      <c r="F9">
        <v>782000000</v>
      </c>
    </row>
    <row r="10" spans="1:6" x14ac:dyDescent="0.25">
      <c r="A10" s="1" t="s">
        <v>60</v>
      </c>
      <c r="B10">
        <v>9907000000</v>
      </c>
      <c r="C10">
        <v>19218000000</v>
      </c>
      <c r="D10">
        <v>10714000000</v>
      </c>
      <c r="E10">
        <v>1000000</v>
      </c>
      <c r="F10">
        <v>6640000000</v>
      </c>
    </row>
    <row r="11" spans="1:6" x14ac:dyDescent="0.25">
      <c r="A11" s="1" t="s">
        <v>61</v>
      </c>
      <c r="B11">
        <v>13296000000</v>
      </c>
      <c r="C11">
        <v>21208000000</v>
      </c>
      <c r="D11">
        <v>11561000000</v>
      </c>
      <c r="E11">
        <v>10897000000</v>
      </c>
      <c r="F11">
        <v>7422000000</v>
      </c>
    </row>
    <row r="12" spans="1:6" x14ac:dyDescent="0.25">
      <c r="A12" s="1" t="s">
        <v>62</v>
      </c>
      <c r="B12">
        <v>3827000000</v>
      </c>
      <c r="C12">
        <v>4650000000</v>
      </c>
      <c r="D12">
        <v>2429000000</v>
      </c>
      <c r="E12">
        <v>1657000000</v>
      </c>
      <c r="F12">
        <v>1424000000</v>
      </c>
    </row>
    <row r="13" spans="1:6" x14ac:dyDescent="0.25">
      <c r="A13" s="1" t="s">
        <v>63</v>
      </c>
      <c r="B13">
        <v>5159000000</v>
      </c>
      <c r="C13">
        <v>2605000000</v>
      </c>
      <c r="D13">
        <v>1826000000</v>
      </c>
      <c r="E13">
        <v>979000000</v>
      </c>
      <c r="F13">
        <v>1575000000</v>
      </c>
    </row>
    <row r="14" spans="1:6" x14ac:dyDescent="0.25">
      <c r="A14" s="1" t="s">
        <v>64</v>
      </c>
      <c r="B14">
        <v>791000000</v>
      </c>
      <c r="C14">
        <v>366000000</v>
      </c>
      <c r="D14">
        <v>239000000</v>
      </c>
      <c r="E14">
        <v>157000000</v>
      </c>
      <c r="F14">
        <v>136000000</v>
      </c>
    </row>
    <row r="15" spans="1:6" x14ac:dyDescent="0.25">
      <c r="A15" s="1" t="s">
        <v>65</v>
      </c>
      <c r="B15">
        <v>23073000000</v>
      </c>
      <c r="C15">
        <v>28829000000</v>
      </c>
      <c r="D15">
        <v>16055000000</v>
      </c>
      <c r="E15">
        <v>13690000000</v>
      </c>
      <c r="F15">
        <v>10557000000</v>
      </c>
    </row>
    <row r="16" spans="1:6" x14ac:dyDescent="0.25">
      <c r="A16" s="1" t="s">
        <v>66</v>
      </c>
      <c r="B16">
        <v>4845000000</v>
      </c>
      <c r="C16">
        <v>3607000000</v>
      </c>
      <c r="D16">
        <v>2856000000</v>
      </c>
      <c r="E16">
        <v>2292000000</v>
      </c>
      <c r="F16">
        <v>1404000000</v>
      </c>
    </row>
    <row r="17" spans="1:6" x14ac:dyDescent="0.25">
      <c r="A17" s="1" t="s">
        <v>67</v>
      </c>
      <c r="B17">
        <v>4372000000</v>
      </c>
      <c r="C17">
        <v>4349000000</v>
      </c>
      <c r="D17">
        <v>4193000000</v>
      </c>
      <c r="E17">
        <v>618000000</v>
      </c>
      <c r="F17">
        <v>618000000</v>
      </c>
    </row>
    <row r="18" spans="1:6" x14ac:dyDescent="0.25">
      <c r="A18" s="1" t="s">
        <v>68</v>
      </c>
      <c r="B18">
        <v>1676000000</v>
      </c>
      <c r="C18">
        <v>2339000000</v>
      </c>
      <c r="D18">
        <v>2737000000</v>
      </c>
      <c r="E18">
        <v>49000000</v>
      </c>
      <c r="F18">
        <v>45000000</v>
      </c>
    </row>
    <row r="19" spans="1:6" x14ac:dyDescent="0.25">
      <c r="A19" s="1" t="s">
        <v>69</v>
      </c>
      <c r="B19">
        <v>6048000000</v>
      </c>
      <c r="C19">
        <v>6688000000</v>
      </c>
      <c r="D19">
        <v>6930000000</v>
      </c>
      <c r="E19">
        <v>667000000</v>
      </c>
      <c r="F19">
        <v>663000000</v>
      </c>
    </row>
    <row r="20" spans="1:6" x14ac:dyDescent="0.25">
      <c r="A20" s="1" t="s">
        <v>70</v>
      </c>
      <c r="B20">
        <v>299000000</v>
      </c>
      <c r="C20">
        <v>266000000</v>
      </c>
      <c r="D20">
        <v>144000000</v>
      </c>
      <c r="E20">
        <v>0</v>
      </c>
      <c r="F20">
        <v>0</v>
      </c>
    </row>
    <row r="21" spans="1:6" x14ac:dyDescent="0.25">
      <c r="A21" s="1" t="s">
        <v>71</v>
      </c>
      <c r="B21">
        <v>3396000000</v>
      </c>
      <c r="C21">
        <v>1222000000</v>
      </c>
      <c r="D21">
        <v>806000000</v>
      </c>
      <c r="E21">
        <v>548000000</v>
      </c>
      <c r="F21">
        <v>0</v>
      </c>
    </row>
    <row r="22" spans="1:6" x14ac:dyDescent="0.25">
      <c r="A22" s="1" t="s">
        <v>72</v>
      </c>
      <c r="B22">
        <v>3521000000</v>
      </c>
      <c r="C22">
        <v>3575000000</v>
      </c>
      <c r="D22">
        <v>2000000000</v>
      </c>
      <c r="E22">
        <v>118000000</v>
      </c>
      <c r="F22">
        <v>668000000</v>
      </c>
    </row>
    <row r="23" spans="1:6" x14ac:dyDescent="0.25">
      <c r="A23" s="1" t="s">
        <v>73</v>
      </c>
      <c r="B23">
        <v>18109000000</v>
      </c>
      <c r="C23">
        <v>15358000000</v>
      </c>
      <c r="D23">
        <v>12736000000</v>
      </c>
      <c r="E23">
        <v>3625000000</v>
      </c>
      <c r="F23">
        <v>2735000000</v>
      </c>
    </row>
    <row r="24" spans="1:6" x14ac:dyDescent="0.25">
      <c r="A24" s="1" t="s">
        <v>74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 x14ac:dyDescent="0.25">
      <c r="A25" s="1" t="s">
        <v>75</v>
      </c>
      <c r="B25">
        <v>41182000000</v>
      </c>
      <c r="C25">
        <v>44187000000</v>
      </c>
      <c r="D25">
        <v>28791000000</v>
      </c>
      <c r="E25">
        <v>17315000000</v>
      </c>
      <c r="F25">
        <v>13292000000</v>
      </c>
    </row>
    <row r="26" spans="1:6" x14ac:dyDescent="0.25">
      <c r="A26" s="1" t="s">
        <v>76</v>
      </c>
      <c r="B26">
        <v>1193000000</v>
      </c>
      <c r="C26">
        <v>1783000000</v>
      </c>
      <c r="D26">
        <v>1201000000</v>
      </c>
      <c r="E26">
        <v>687000000</v>
      </c>
      <c r="F26">
        <v>511000000</v>
      </c>
    </row>
    <row r="27" spans="1:6" x14ac:dyDescent="0.25">
      <c r="A27" s="1" t="s">
        <v>77</v>
      </c>
      <c r="B27">
        <v>1250000000</v>
      </c>
      <c r="C27">
        <v>0</v>
      </c>
      <c r="D27">
        <v>999000000</v>
      </c>
      <c r="E27">
        <v>91000000</v>
      </c>
      <c r="F27">
        <v>91000000</v>
      </c>
    </row>
    <row r="28" spans="1:6" x14ac:dyDescent="0.25">
      <c r="A28" s="1" t="s">
        <v>78</v>
      </c>
      <c r="B28">
        <v>467000000</v>
      </c>
      <c r="C28">
        <v>0</v>
      </c>
      <c r="D28">
        <v>61000000</v>
      </c>
      <c r="E28">
        <v>61000000</v>
      </c>
      <c r="F28">
        <v>91000000</v>
      </c>
    </row>
    <row r="29" spans="1:6" x14ac:dyDescent="0.25">
      <c r="A29" s="1" t="s">
        <v>79</v>
      </c>
      <c r="B29">
        <v>354000000</v>
      </c>
      <c r="C29">
        <v>300000000</v>
      </c>
      <c r="D29">
        <v>288000000</v>
      </c>
      <c r="E29">
        <v>141000000</v>
      </c>
      <c r="F29">
        <v>92000000</v>
      </c>
    </row>
    <row r="30" spans="1:6" x14ac:dyDescent="0.25">
      <c r="A30" s="1" t="s">
        <v>80</v>
      </c>
      <c r="B30">
        <v>3766000000</v>
      </c>
      <c r="C30">
        <v>2252000000</v>
      </c>
      <c r="D30">
        <v>1437000000</v>
      </c>
      <c r="E30">
        <v>865000000</v>
      </c>
      <c r="F30">
        <v>635000000</v>
      </c>
    </row>
    <row r="31" spans="1:6" x14ac:dyDescent="0.25">
      <c r="A31" s="1" t="s">
        <v>81</v>
      </c>
      <c r="B31">
        <v>6563000000</v>
      </c>
      <c r="C31">
        <v>4335000000</v>
      </c>
      <c r="D31">
        <v>3925000000</v>
      </c>
      <c r="E31">
        <v>1784000000</v>
      </c>
      <c r="F31">
        <v>1329000000</v>
      </c>
    </row>
    <row r="32" spans="1:6" x14ac:dyDescent="0.25">
      <c r="A32" s="1" t="s">
        <v>82</v>
      </c>
      <c r="B32">
        <v>10605000000</v>
      </c>
      <c r="C32">
        <v>11687000000</v>
      </c>
      <c r="D32">
        <v>6598000000</v>
      </c>
      <c r="E32">
        <v>2552000000</v>
      </c>
      <c r="F32">
        <v>1988000000</v>
      </c>
    </row>
    <row r="33" spans="1:6" x14ac:dyDescent="0.25">
      <c r="A33" s="1" t="s">
        <v>83</v>
      </c>
      <c r="B33">
        <v>218000000</v>
      </c>
      <c r="C33">
        <v>202000000</v>
      </c>
      <c r="D33">
        <v>163000000</v>
      </c>
      <c r="E33">
        <v>60000000</v>
      </c>
      <c r="F33">
        <v>46000000</v>
      </c>
    </row>
    <row r="34" spans="1:6" x14ac:dyDescent="0.25">
      <c r="A34" s="1" t="s">
        <v>84</v>
      </c>
      <c r="B34">
        <v>247000000</v>
      </c>
      <c r="C34">
        <v>245000000</v>
      </c>
      <c r="D34">
        <v>241000000</v>
      </c>
      <c r="E34">
        <v>29000000</v>
      </c>
      <c r="F34">
        <v>19000000</v>
      </c>
    </row>
    <row r="35" spans="1:6" x14ac:dyDescent="0.25">
      <c r="A35" s="1" t="s">
        <v>85</v>
      </c>
      <c r="B35">
        <v>1448000000</v>
      </c>
      <c r="C35">
        <v>1106000000</v>
      </c>
      <c r="D35">
        <v>971000000</v>
      </c>
      <c r="E35">
        <v>686000000</v>
      </c>
      <c r="F35">
        <v>568000000</v>
      </c>
    </row>
    <row r="36" spans="1:6" x14ac:dyDescent="0.25">
      <c r="A36" s="1" t="s">
        <v>86</v>
      </c>
      <c r="B36">
        <v>12518000000</v>
      </c>
      <c r="C36">
        <v>13240000000</v>
      </c>
      <c r="D36">
        <v>7973000000</v>
      </c>
      <c r="E36">
        <v>3327000000</v>
      </c>
      <c r="F36">
        <v>2621000000</v>
      </c>
    </row>
    <row r="37" spans="1:6" x14ac:dyDescent="0.25">
      <c r="A37" s="1" t="s">
        <v>87</v>
      </c>
      <c r="B37">
        <v>0</v>
      </c>
      <c r="C37">
        <v>0</v>
      </c>
      <c r="D37">
        <v>0</v>
      </c>
      <c r="E37">
        <v>0</v>
      </c>
      <c r="F37">
        <v>0</v>
      </c>
    </row>
    <row r="38" spans="1:6" x14ac:dyDescent="0.25">
      <c r="A38" s="1" t="s">
        <v>88</v>
      </c>
      <c r="B38">
        <v>902000000</v>
      </c>
      <c r="C38">
        <v>741000000</v>
      </c>
      <c r="D38">
        <v>634000000</v>
      </c>
      <c r="E38">
        <v>561000000</v>
      </c>
      <c r="F38">
        <v>0</v>
      </c>
    </row>
    <row r="39" spans="1:6" x14ac:dyDescent="0.25">
      <c r="A39" s="1" t="s">
        <v>89</v>
      </c>
      <c r="B39">
        <v>19081000000</v>
      </c>
      <c r="C39">
        <v>17575000000</v>
      </c>
      <c r="D39">
        <v>11898000000</v>
      </c>
      <c r="E39">
        <v>5111000000</v>
      </c>
      <c r="F39">
        <v>3950000000</v>
      </c>
    </row>
    <row r="40" spans="1:6" x14ac:dyDescent="0.25">
      <c r="A40" s="1" t="s">
        <v>90</v>
      </c>
      <c r="B40">
        <v>0</v>
      </c>
      <c r="C40">
        <v>0</v>
      </c>
      <c r="D40">
        <v>0</v>
      </c>
      <c r="E40">
        <v>0</v>
      </c>
      <c r="F40">
        <v>0</v>
      </c>
    </row>
    <row r="41" spans="1:6" x14ac:dyDescent="0.25">
      <c r="A41" s="1" t="s">
        <v>91</v>
      </c>
      <c r="B41">
        <v>2000000</v>
      </c>
      <c r="C41">
        <v>3000000</v>
      </c>
      <c r="D41">
        <v>1000000</v>
      </c>
      <c r="E41">
        <v>1000000</v>
      </c>
      <c r="F41">
        <v>1000000</v>
      </c>
    </row>
    <row r="42" spans="1:6" x14ac:dyDescent="0.25">
      <c r="A42" s="1" t="s">
        <v>92</v>
      </c>
      <c r="B42">
        <v>10171000000</v>
      </c>
      <c r="C42">
        <v>16235000000</v>
      </c>
      <c r="D42">
        <v>18908000000</v>
      </c>
      <c r="E42">
        <v>14971000000</v>
      </c>
      <c r="F42">
        <v>12565000000</v>
      </c>
    </row>
    <row r="43" spans="1:6" x14ac:dyDescent="0.25">
      <c r="A43" s="1" t="s">
        <v>93</v>
      </c>
      <c r="B43">
        <v>-43000000</v>
      </c>
      <c r="C43">
        <v>-11000000</v>
      </c>
      <c r="D43">
        <v>19000000</v>
      </c>
      <c r="E43">
        <v>1000000</v>
      </c>
      <c r="F43">
        <v>-12000000</v>
      </c>
    </row>
    <row r="44" spans="1:6" x14ac:dyDescent="0.25">
      <c r="A44" s="1" t="s">
        <v>94</v>
      </c>
      <c r="B44">
        <v>11971000000</v>
      </c>
      <c r="C44">
        <v>10385000000</v>
      </c>
      <c r="D44">
        <v>-2035000000</v>
      </c>
      <c r="E44">
        <v>-2769000000</v>
      </c>
      <c r="F44">
        <v>-3212000000</v>
      </c>
    </row>
    <row r="45" spans="1:6" x14ac:dyDescent="0.25">
      <c r="A45" s="1" t="s">
        <v>95</v>
      </c>
      <c r="B45">
        <v>22101000000</v>
      </c>
      <c r="C45">
        <v>26612000000</v>
      </c>
      <c r="D45">
        <v>16893000000</v>
      </c>
      <c r="E45">
        <v>12204000000</v>
      </c>
      <c r="F45">
        <v>9342000000</v>
      </c>
    </row>
    <row r="46" spans="1:6" x14ac:dyDescent="0.25">
      <c r="A46" s="1" t="s">
        <v>96</v>
      </c>
      <c r="B46">
        <v>22101000000</v>
      </c>
      <c r="C46">
        <v>26612000000</v>
      </c>
      <c r="D46">
        <v>16893000000</v>
      </c>
      <c r="E46">
        <v>12204000000</v>
      </c>
      <c r="F46">
        <v>9342000000</v>
      </c>
    </row>
    <row r="47" spans="1:6" x14ac:dyDescent="0.25">
      <c r="A47" s="1" t="s">
        <v>97</v>
      </c>
      <c r="B47">
        <v>41182000000</v>
      </c>
      <c r="C47">
        <v>44187000000</v>
      </c>
      <c r="D47">
        <v>28791000000</v>
      </c>
      <c r="E47">
        <v>17315000000</v>
      </c>
      <c r="F47">
        <v>13292000000</v>
      </c>
    </row>
    <row r="48" spans="1:6" x14ac:dyDescent="0.25">
      <c r="A48" s="1" t="s">
        <v>98</v>
      </c>
      <c r="B48">
        <v>0</v>
      </c>
      <c r="C48">
        <v>0</v>
      </c>
      <c r="D48">
        <v>0</v>
      </c>
      <c r="E48">
        <v>0</v>
      </c>
      <c r="F48">
        <v>0</v>
      </c>
    </row>
    <row r="49" spans="1:6" x14ac:dyDescent="0.25">
      <c r="A49" s="1" t="s">
        <v>99</v>
      </c>
      <c r="B49">
        <v>41182000000</v>
      </c>
      <c r="C49">
        <v>44187000000</v>
      </c>
      <c r="D49">
        <v>28791000000</v>
      </c>
      <c r="E49">
        <v>17315000000</v>
      </c>
      <c r="F49">
        <v>13292000000</v>
      </c>
    </row>
    <row r="50" spans="1:6" x14ac:dyDescent="0.25">
      <c r="A50" s="1" t="s">
        <v>100</v>
      </c>
      <c r="B50">
        <v>10206000000</v>
      </c>
      <c r="C50">
        <v>19484000000</v>
      </c>
      <c r="D50">
        <v>10858000000</v>
      </c>
      <c r="E50">
        <v>1000000</v>
      </c>
      <c r="F50">
        <v>6640000000</v>
      </c>
    </row>
    <row r="51" spans="1:6" x14ac:dyDescent="0.25">
      <c r="A51" s="1" t="s">
        <v>101</v>
      </c>
      <c r="B51">
        <v>11855000000</v>
      </c>
      <c r="C51">
        <v>11687000000</v>
      </c>
      <c r="D51">
        <v>7597000000</v>
      </c>
      <c r="E51">
        <v>2552000000</v>
      </c>
      <c r="F51">
        <v>1988000000</v>
      </c>
    </row>
    <row r="52" spans="1:6" x14ac:dyDescent="0.25">
      <c r="A52" s="1" t="s">
        <v>102</v>
      </c>
      <c r="B52">
        <v>8466000000</v>
      </c>
      <c r="C52">
        <v>9697000000</v>
      </c>
      <c r="D52">
        <v>6750000000</v>
      </c>
      <c r="E52">
        <v>-8344000000</v>
      </c>
      <c r="F52">
        <v>1206000000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38"/>
  <sheetViews>
    <sheetView workbookViewId="0">
      <selection activeCell="B14" sqref="B14"/>
    </sheetView>
  </sheetViews>
  <sheetFormatPr defaultRowHeight="15" x14ac:dyDescent="0.25"/>
  <cols>
    <col min="1" max="1" width="40.5703125" bestFit="1" customWidth="1"/>
    <col min="2" max="6" width="18.28515625" bestFit="1" customWidth="1"/>
  </cols>
  <sheetData>
    <row r="1" spans="1:6" x14ac:dyDescent="0.2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25">
      <c r="A2" s="1" t="s">
        <v>5</v>
      </c>
      <c r="B2" t="s">
        <v>6</v>
      </c>
      <c r="C2" t="s">
        <v>6</v>
      </c>
      <c r="D2" t="s">
        <v>6</v>
      </c>
      <c r="E2" t="s">
        <v>6</v>
      </c>
      <c r="F2" t="s">
        <v>6</v>
      </c>
    </row>
    <row r="3" spans="1:6" x14ac:dyDescent="0.25">
      <c r="A3" s="1" t="s">
        <v>7</v>
      </c>
      <c r="B3" t="s">
        <v>8</v>
      </c>
      <c r="C3" t="s">
        <v>8</v>
      </c>
      <c r="D3" t="s">
        <v>8</v>
      </c>
      <c r="E3" t="s">
        <v>8</v>
      </c>
      <c r="F3" t="s">
        <v>8</v>
      </c>
    </row>
    <row r="4" spans="1:6" x14ac:dyDescent="0.25">
      <c r="A4" s="1" t="s">
        <v>9</v>
      </c>
      <c r="B4" t="s">
        <v>10</v>
      </c>
      <c r="C4" t="s">
        <v>10</v>
      </c>
      <c r="D4" t="s">
        <v>10</v>
      </c>
      <c r="E4" t="s">
        <v>10</v>
      </c>
      <c r="F4" t="s">
        <v>10</v>
      </c>
    </row>
    <row r="5" spans="1:6" x14ac:dyDescent="0.25">
      <c r="A5" s="1" t="s">
        <v>11</v>
      </c>
      <c r="B5" t="s">
        <v>12</v>
      </c>
      <c r="C5" t="s">
        <v>13</v>
      </c>
      <c r="D5" t="s">
        <v>14</v>
      </c>
      <c r="E5" t="s">
        <v>15</v>
      </c>
      <c r="F5" t="s">
        <v>16</v>
      </c>
    </row>
    <row r="6" spans="1:6" x14ac:dyDescent="0.25">
      <c r="A6" s="1" t="s">
        <v>17</v>
      </c>
      <c r="B6" t="s">
        <v>18</v>
      </c>
      <c r="C6" t="s">
        <v>19</v>
      </c>
      <c r="D6" t="s">
        <v>20</v>
      </c>
      <c r="E6" t="s">
        <v>21</v>
      </c>
      <c r="F6" t="s">
        <v>22</v>
      </c>
    </row>
    <row r="7" spans="1:6" x14ac:dyDescent="0.25">
      <c r="A7" s="1" t="s">
        <v>23</v>
      </c>
      <c r="B7" t="s">
        <v>24</v>
      </c>
      <c r="C7" t="s">
        <v>25</v>
      </c>
      <c r="D7" t="s">
        <v>26</v>
      </c>
      <c r="E7" t="s">
        <v>27</v>
      </c>
      <c r="F7" t="s">
        <v>28</v>
      </c>
    </row>
    <row r="8" spans="1:6" x14ac:dyDescent="0.25">
      <c r="A8" s="1" t="s">
        <v>29</v>
      </c>
      <c r="B8" t="s">
        <v>30</v>
      </c>
      <c r="C8" t="s">
        <v>30</v>
      </c>
      <c r="D8" t="s">
        <v>30</v>
      </c>
      <c r="E8" t="s">
        <v>30</v>
      </c>
      <c r="F8" t="s">
        <v>30</v>
      </c>
    </row>
    <row r="9" spans="1:6" x14ac:dyDescent="0.25">
      <c r="A9" s="1" t="s">
        <v>53</v>
      </c>
      <c r="B9">
        <v>4368000000</v>
      </c>
      <c r="C9">
        <v>9752000000</v>
      </c>
      <c r="D9">
        <v>4332000000</v>
      </c>
      <c r="E9">
        <v>2796000000</v>
      </c>
      <c r="F9">
        <v>4141000000</v>
      </c>
    </row>
    <row r="10" spans="1:6" x14ac:dyDescent="0.25">
      <c r="A10" s="1" t="s">
        <v>44</v>
      </c>
      <c r="B10">
        <v>1544000000</v>
      </c>
      <c r="C10">
        <v>1174000000</v>
      </c>
      <c r="D10">
        <v>1098000000</v>
      </c>
      <c r="E10">
        <v>381000000</v>
      </c>
      <c r="F10">
        <v>262000000</v>
      </c>
    </row>
    <row r="11" spans="1:6" x14ac:dyDescent="0.25">
      <c r="A11" s="1" t="s">
        <v>103</v>
      </c>
      <c r="B11">
        <v>-2164000000</v>
      </c>
      <c r="C11">
        <v>-406000000</v>
      </c>
      <c r="D11">
        <v>-282000000</v>
      </c>
      <c r="E11">
        <v>18000000</v>
      </c>
      <c r="F11">
        <v>-315000000</v>
      </c>
    </row>
    <row r="12" spans="1:6" x14ac:dyDescent="0.25">
      <c r="A12" s="1" t="s">
        <v>104</v>
      </c>
      <c r="B12">
        <v>2709000000</v>
      </c>
      <c r="C12">
        <v>2004000000</v>
      </c>
      <c r="D12">
        <v>1397000000</v>
      </c>
      <c r="E12">
        <v>844000000</v>
      </c>
      <c r="F12">
        <v>557000000</v>
      </c>
    </row>
    <row r="13" spans="1:6" x14ac:dyDescent="0.25">
      <c r="A13" s="1" t="s">
        <v>105</v>
      </c>
      <c r="B13">
        <v>-2207000000</v>
      </c>
      <c r="C13">
        <v>-3363000000</v>
      </c>
      <c r="D13">
        <v>-703000000</v>
      </c>
      <c r="E13">
        <v>717000000</v>
      </c>
      <c r="F13">
        <v>-857000000</v>
      </c>
    </row>
    <row r="14" spans="1:6" x14ac:dyDescent="0.25">
      <c r="A14" s="1" t="s">
        <v>106</v>
      </c>
      <c r="B14">
        <v>822000000</v>
      </c>
      <c r="C14">
        <v>-2215000000</v>
      </c>
      <c r="D14">
        <v>-550000000</v>
      </c>
      <c r="E14">
        <v>-233000000</v>
      </c>
      <c r="F14">
        <v>-149000000</v>
      </c>
    </row>
    <row r="15" spans="1:6" x14ac:dyDescent="0.25">
      <c r="A15" s="1" t="s">
        <v>63</v>
      </c>
      <c r="B15">
        <v>-2554000000</v>
      </c>
      <c r="C15">
        <v>-774000000</v>
      </c>
      <c r="D15">
        <v>-524000000</v>
      </c>
      <c r="E15">
        <v>597000000</v>
      </c>
      <c r="F15">
        <v>-776000000</v>
      </c>
    </row>
    <row r="16" spans="1:6" x14ac:dyDescent="0.25">
      <c r="A16" s="1" t="s">
        <v>107</v>
      </c>
      <c r="B16">
        <v>-551000000</v>
      </c>
      <c r="C16">
        <v>568000000</v>
      </c>
      <c r="D16">
        <v>363000000</v>
      </c>
      <c r="E16">
        <v>194000000</v>
      </c>
      <c r="F16">
        <v>-135000000</v>
      </c>
    </row>
    <row r="17" spans="1:6" x14ac:dyDescent="0.25">
      <c r="A17" s="1" t="s">
        <v>108</v>
      </c>
      <c r="B17">
        <v>76000000</v>
      </c>
      <c r="C17">
        <v>-942000000</v>
      </c>
      <c r="D17">
        <v>8000000</v>
      </c>
      <c r="E17">
        <v>159000000</v>
      </c>
      <c r="F17">
        <v>203000000</v>
      </c>
    </row>
    <row r="18" spans="1:6" x14ac:dyDescent="0.25">
      <c r="A18" s="1" t="s">
        <v>109</v>
      </c>
      <c r="B18">
        <v>1391000000</v>
      </c>
      <c r="C18">
        <v>-53000000</v>
      </c>
      <c r="D18">
        <v>-20000000</v>
      </c>
      <c r="E18">
        <v>5000000</v>
      </c>
      <c r="F18">
        <v>-45000000</v>
      </c>
    </row>
    <row r="19" spans="1:6" x14ac:dyDescent="0.25">
      <c r="A19" s="1" t="s">
        <v>110</v>
      </c>
      <c r="B19">
        <v>5641000000</v>
      </c>
      <c r="C19">
        <v>9108000000</v>
      </c>
      <c r="D19">
        <v>5822000000</v>
      </c>
      <c r="E19">
        <v>4761000000</v>
      </c>
      <c r="F19">
        <v>3743000000</v>
      </c>
    </row>
    <row r="20" spans="1:6" x14ac:dyDescent="0.25">
      <c r="A20" s="1" t="s">
        <v>111</v>
      </c>
      <c r="B20">
        <v>-1833000000</v>
      </c>
      <c r="C20">
        <v>-976000000</v>
      </c>
      <c r="D20">
        <v>-1128000000</v>
      </c>
      <c r="E20">
        <v>-489000000</v>
      </c>
      <c r="F20">
        <v>-600000000</v>
      </c>
    </row>
    <row r="21" spans="1:6" x14ac:dyDescent="0.25">
      <c r="A21" s="1" t="s">
        <v>112</v>
      </c>
      <c r="B21">
        <v>-49000000</v>
      </c>
      <c r="C21">
        <v>-263000000</v>
      </c>
      <c r="D21">
        <v>-8524000000</v>
      </c>
      <c r="E21">
        <v>9000000</v>
      </c>
      <c r="F21">
        <v>36000000</v>
      </c>
    </row>
    <row r="22" spans="1:6" x14ac:dyDescent="0.25">
      <c r="A22" s="1" t="s">
        <v>113</v>
      </c>
      <c r="B22">
        <v>-11974000000</v>
      </c>
      <c r="C22">
        <v>-24811000000</v>
      </c>
      <c r="D22">
        <v>-19342000000</v>
      </c>
      <c r="E22">
        <v>-1475000000</v>
      </c>
      <c r="F22">
        <v>-11157000000</v>
      </c>
    </row>
    <row r="23" spans="1:6" x14ac:dyDescent="0.25">
      <c r="A23" s="1" t="s">
        <v>114</v>
      </c>
      <c r="B23">
        <v>21231000000</v>
      </c>
      <c r="C23">
        <v>16220000000</v>
      </c>
      <c r="D23">
        <v>9319000000</v>
      </c>
      <c r="E23">
        <v>8109000000</v>
      </c>
      <c r="F23">
        <v>7660000000</v>
      </c>
    </row>
    <row r="24" spans="1:6" x14ac:dyDescent="0.25">
      <c r="A24" s="1" t="s">
        <v>115</v>
      </c>
      <c r="B24">
        <v>0</v>
      </c>
      <c r="C24">
        <v>0</v>
      </c>
      <c r="D24">
        <v>0</v>
      </c>
      <c r="E24">
        <v>-9000000</v>
      </c>
      <c r="F24">
        <v>-36000000</v>
      </c>
    </row>
    <row r="25" spans="1:6" x14ac:dyDescent="0.25">
      <c r="A25" s="1" t="s">
        <v>116</v>
      </c>
      <c r="B25">
        <v>7375000000</v>
      </c>
      <c r="C25">
        <v>-9830000000</v>
      </c>
      <c r="D25">
        <v>-19675000000</v>
      </c>
      <c r="E25">
        <v>6145000000</v>
      </c>
      <c r="F25">
        <v>-4097000000</v>
      </c>
    </row>
    <row r="26" spans="1:6" x14ac:dyDescent="0.25">
      <c r="A26" s="1" t="s">
        <v>117</v>
      </c>
      <c r="B26">
        <v>0</v>
      </c>
      <c r="C26">
        <v>-1000000000</v>
      </c>
      <c r="D26">
        <v>0</v>
      </c>
      <c r="E26">
        <v>0</v>
      </c>
      <c r="F26">
        <v>-16000000</v>
      </c>
    </row>
    <row r="27" spans="1:6" x14ac:dyDescent="0.25">
      <c r="A27" s="1" t="s">
        <v>118</v>
      </c>
      <c r="B27">
        <v>0</v>
      </c>
      <c r="C27">
        <v>0</v>
      </c>
      <c r="D27">
        <v>0</v>
      </c>
      <c r="E27">
        <v>0</v>
      </c>
      <c r="F27">
        <v>137000000</v>
      </c>
    </row>
    <row r="28" spans="1:6" x14ac:dyDescent="0.25">
      <c r="A28" s="1" t="s">
        <v>119</v>
      </c>
      <c r="B28">
        <v>-10039000000</v>
      </c>
      <c r="C28">
        <v>0</v>
      </c>
      <c r="D28">
        <v>0</v>
      </c>
      <c r="E28">
        <v>-1579000000</v>
      </c>
      <c r="F28">
        <v>-1579000000</v>
      </c>
    </row>
    <row r="29" spans="1:6" x14ac:dyDescent="0.25">
      <c r="A29" s="1" t="s">
        <v>120</v>
      </c>
      <c r="B29">
        <v>-398000000</v>
      </c>
      <c r="C29">
        <v>-399000000</v>
      </c>
      <c r="D29">
        <v>-395000000</v>
      </c>
      <c r="E29">
        <v>-390000000</v>
      </c>
      <c r="F29">
        <v>-371000000</v>
      </c>
    </row>
    <row r="30" spans="1:6" x14ac:dyDescent="0.25">
      <c r="A30" s="1" t="s">
        <v>121</v>
      </c>
      <c r="B30">
        <v>-1180000000</v>
      </c>
      <c r="C30">
        <v>3264000000</v>
      </c>
      <c r="D30">
        <v>4199000000</v>
      </c>
      <c r="E30">
        <v>1177000000</v>
      </c>
      <c r="F30">
        <v>-1037000000</v>
      </c>
    </row>
    <row r="31" spans="1:6" x14ac:dyDescent="0.25">
      <c r="A31" s="1" t="s">
        <v>122</v>
      </c>
      <c r="B31">
        <v>-11617000000</v>
      </c>
      <c r="C31">
        <v>1865000000</v>
      </c>
      <c r="D31">
        <v>3804000000</v>
      </c>
      <c r="E31">
        <v>-792000000</v>
      </c>
      <c r="F31">
        <v>-2866000000</v>
      </c>
    </row>
    <row r="32" spans="1:6" x14ac:dyDescent="0.25">
      <c r="A32" s="1" t="s">
        <v>123</v>
      </c>
      <c r="B32">
        <v>0</v>
      </c>
      <c r="C32">
        <v>0</v>
      </c>
      <c r="D32">
        <v>0</v>
      </c>
      <c r="E32">
        <v>0</v>
      </c>
      <c r="F32">
        <v>0</v>
      </c>
    </row>
    <row r="33" spans="1:6" x14ac:dyDescent="0.25">
      <c r="A33" s="1" t="s">
        <v>124</v>
      </c>
      <c r="B33">
        <v>1399000000</v>
      </c>
      <c r="C33">
        <v>1143000000</v>
      </c>
      <c r="D33">
        <v>-10049000000</v>
      </c>
      <c r="E33">
        <v>10114000000</v>
      </c>
      <c r="F33">
        <v>-3220000000</v>
      </c>
    </row>
    <row r="34" spans="1:6" x14ac:dyDescent="0.25">
      <c r="A34" s="1" t="s">
        <v>125</v>
      </c>
      <c r="B34">
        <v>3389000000</v>
      </c>
      <c r="C34">
        <v>1990000000</v>
      </c>
      <c r="D34">
        <v>847000000</v>
      </c>
      <c r="E34">
        <v>10896000000</v>
      </c>
      <c r="F34">
        <v>782000000</v>
      </c>
    </row>
    <row r="35" spans="1:6" x14ac:dyDescent="0.25">
      <c r="A35" s="1" t="s">
        <v>126</v>
      </c>
      <c r="B35">
        <v>1990000000</v>
      </c>
      <c r="C35">
        <v>847000000</v>
      </c>
      <c r="D35">
        <v>10896000000</v>
      </c>
      <c r="E35">
        <v>782000000</v>
      </c>
      <c r="F35">
        <v>4002000000</v>
      </c>
    </row>
    <row r="36" spans="1:6" x14ac:dyDescent="0.25">
      <c r="A36" s="1" t="s">
        <v>127</v>
      </c>
      <c r="B36">
        <v>5641000000</v>
      </c>
      <c r="C36">
        <v>9108000000</v>
      </c>
      <c r="D36">
        <v>5822000000</v>
      </c>
      <c r="E36">
        <v>4761000000</v>
      </c>
      <c r="F36">
        <v>3743000000</v>
      </c>
    </row>
    <row r="37" spans="1:6" x14ac:dyDescent="0.25">
      <c r="A37" s="1" t="s">
        <v>128</v>
      </c>
      <c r="B37">
        <v>-1833000000</v>
      </c>
      <c r="C37">
        <v>-976000000</v>
      </c>
      <c r="D37">
        <v>-1128000000</v>
      </c>
      <c r="E37">
        <v>-489000000</v>
      </c>
      <c r="F37">
        <v>-600000000</v>
      </c>
    </row>
    <row r="38" spans="1:6" x14ac:dyDescent="0.25">
      <c r="A38" s="1" t="s">
        <v>129</v>
      </c>
      <c r="B38">
        <v>3808000000</v>
      </c>
      <c r="C38">
        <v>8132000000</v>
      </c>
      <c r="D38">
        <v>4694000000</v>
      </c>
      <c r="E38">
        <v>4272000000</v>
      </c>
      <c r="F38">
        <v>3143000000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71F3-9088-4CAE-86E5-6C2A5170454A}">
  <sheetPr codeName="Sheet29"/>
  <dimension ref="A3:F36"/>
  <sheetViews>
    <sheetView workbookViewId="0">
      <selection activeCell="F14" sqref="F14"/>
    </sheetView>
  </sheetViews>
  <sheetFormatPr defaultRowHeight="15" x14ac:dyDescent="0.25"/>
  <cols>
    <col min="1" max="1" width="27.5703125" style="3" bestFit="1" customWidth="1"/>
    <col min="2" max="2" width="13.85546875" style="3" bestFit="1" customWidth="1"/>
    <col min="3" max="3" width="14.85546875" style="3" bestFit="1" customWidth="1"/>
    <col min="4" max="6" width="13.85546875" style="3" bestFit="1" customWidth="1"/>
    <col min="7" max="16384" width="9.140625" style="3"/>
  </cols>
  <sheetData>
    <row r="3" spans="1:6" x14ac:dyDescent="0.25">
      <c r="A3" s="2" t="str">
        <f>_xlfn.CONCAT('Income Statement'!B2, " ", "Analysis")</f>
        <v>NVDA Analysis</v>
      </c>
      <c r="B3" s="2" t="str">
        <f>'Income Statement'!B7</f>
        <v>2023</v>
      </c>
      <c r="C3" s="2" t="str">
        <f>'Income Statement'!C7</f>
        <v>2022</v>
      </c>
      <c r="D3" s="2" t="str">
        <f>'Income Statement'!D7</f>
        <v>2021</v>
      </c>
      <c r="E3" s="2" t="str">
        <f>'Income Statement'!E7</f>
        <v>2020</v>
      </c>
      <c r="F3" s="2" t="str">
        <f>'Income Statement'!F7</f>
        <v>2019</v>
      </c>
    </row>
    <row r="4" spans="1:6" x14ac:dyDescent="0.25">
      <c r="A4" s="3" t="s">
        <v>130</v>
      </c>
      <c r="B4" s="4">
        <f>('Income Statement'!B9-'Income Statement'!C9)/'Income Statement'!C9</f>
        <v>2.2293230289068887E-3</v>
      </c>
      <c r="C4" s="4">
        <f>('Income Statement'!C9-'Income Statement'!D9)/'Income Statement'!D9</f>
        <v>0.61403298350824587</v>
      </c>
      <c r="D4" s="4">
        <f>('Income Statement'!D9-'Income Statement'!E9)/'Income Statement'!E9</f>
        <v>0.52729437625938813</v>
      </c>
      <c r="E4" s="4">
        <f>('Income Statement'!E9-'Income Statement'!F9)/'Income Statement'!F9</f>
        <v>-6.8111983612154314E-2</v>
      </c>
    </row>
    <row r="5" spans="1:6" x14ac:dyDescent="0.25">
      <c r="A5" s="3" t="s">
        <v>131</v>
      </c>
      <c r="B5" s="4">
        <f>(('Income Statement'!B9/'Income Statement'!F9)^(1/COUNTA('Income Statement'!B7:F7)))-1</f>
        <v>0.18149856374703655</v>
      </c>
    </row>
    <row r="6" spans="1:6" x14ac:dyDescent="0.25">
      <c r="A6" s="3" t="s">
        <v>132</v>
      </c>
      <c r="B6" s="3">
        <f>'Income Statement'!B33</f>
        <v>1.76</v>
      </c>
      <c r="C6" s="3">
        <f>'Income Statement'!C33</f>
        <v>3.91</v>
      </c>
      <c r="D6" s="3">
        <f>'Income Statement'!D33</f>
        <v>1.76</v>
      </c>
      <c r="E6" s="3">
        <f>'Income Statement'!E33</f>
        <v>1.1499999999999999</v>
      </c>
      <c r="F6" s="3">
        <f>'Income Statement'!F33</f>
        <v>1.7</v>
      </c>
    </row>
    <row r="7" spans="1:6" x14ac:dyDescent="0.25">
      <c r="A7" s="3" t="s">
        <v>133</v>
      </c>
      <c r="B7" s="4">
        <f>(B6-C6)/C6</f>
        <v>-0.54987212276214836</v>
      </c>
      <c r="C7" s="4">
        <f t="shared" ref="C7:E7" si="0">(C6-D6)/D6</f>
        <v>1.2215909090909094</v>
      </c>
      <c r="D7" s="4">
        <f t="shared" si="0"/>
        <v>0.53043478260869581</v>
      </c>
      <c r="E7" s="4">
        <f t="shared" si="0"/>
        <v>-0.3235294117647059</v>
      </c>
    </row>
    <row r="8" spans="1:6" x14ac:dyDescent="0.25">
      <c r="A8" s="3" t="s">
        <v>134</v>
      </c>
      <c r="B8" s="6">
        <f>'Income Statement'!B25</f>
        <v>4224000000</v>
      </c>
      <c r="C8" s="6">
        <f>'Income Statement'!C25</f>
        <v>10041000000</v>
      </c>
      <c r="D8" s="6">
        <f>'Income Statement'!D25</f>
        <v>4532000000</v>
      </c>
      <c r="E8" s="6">
        <f>'Income Statement'!E25</f>
        <v>2846000000</v>
      </c>
      <c r="F8" s="6">
        <f>'Income Statement'!F25</f>
        <v>3804000000</v>
      </c>
    </row>
    <row r="9" spans="1:6" x14ac:dyDescent="0.25">
      <c r="A9" s="3" t="s">
        <v>135</v>
      </c>
      <c r="B9" s="4">
        <f>B8/'Income Statement'!B9</f>
        <v>0.1565952398606065</v>
      </c>
      <c r="C9" s="4">
        <f>C8/'Income Statement'!C9</f>
        <v>0.37307720888756779</v>
      </c>
      <c r="D9" s="4">
        <f>D8/'Income Statement'!D9</f>
        <v>0.27178410794602698</v>
      </c>
      <c r="E9" s="4">
        <f>E8/'Income Statement'!E9</f>
        <v>0.2606704524638212</v>
      </c>
      <c r="F9" s="4">
        <f>F8/'Income Statement'!F9</f>
        <v>0.32468419255718678</v>
      </c>
    </row>
    <row r="11" spans="1:6" x14ac:dyDescent="0.25">
      <c r="A11" s="2" t="s">
        <v>136</v>
      </c>
    </row>
    <row r="12" spans="1:6" x14ac:dyDescent="0.25">
      <c r="A12" s="3" t="s">
        <v>137</v>
      </c>
      <c r="B12" s="4">
        <f>('Income Statement'!B9-'Income Statement'!B10)/'Income Statement'!B9</f>
        <v>0.56928894490991322</v>
      </c>
      <c r="C12" s="4">
        <f>('Income Statement'!C9-'Income Statement'!C10)/'Income Statement'!C9</f>
        <v>0.64929033216913135</v>
      </c>
      <c r="D12" s="4">
        <f>('Income Statement'!D9-'Income Statement'!D10)/'Income Statement'!D9</f>
        <v>0.62344827586206897</v>
      </c>
      <c r="E12" s="4">
        <f>('Income Statement'!E9-'Income Statement'!E10)/'Income Statement'!E9</f>
        <v>0.61989375343469499</v>
      </c>
      <c r="F12" s="4">
        <f>('Income Statement'!F9-'Income Statement'!F10)/'Income Statement'!F9</f>
        <v>0.61206896551724133</v>
      </c>
    </row>
    <row r="13" spans="1:6" x14ac:dyDescent="0.25">
      <c r="A13" s="3" t="s">
        <v>138</v>
      </c>
      <c r="B13" s="4">
        <f>'Income Statement'!B23/'Income Statement'!B9</f>
        <v>0.27211388744717135</v>
      </c>
      <c r="C13" s="4">
        <f>'Income Statement'!C23/'Income Statement'!C9</f>
        <v>0.42175076168536824</v>
      </c>
      <c r="D13" s="4">
        <f>'Income Statement'!D23/'Income Statement'!D9</f>
        <v>0.34128935532233884</v>
      </c>
      <c r="E13" s="4">
        <f>'Income Statement'!E23/'Income Statement'!E9</f>
        <v>0.3116871221835501</v>
      </c>
      <c r="F13" s="4">
        <f>'Income Statement'!F23/'Income Statement'!F9</f>
        <v>0.33748719699556162</v>
      </c>
    </row>
    <row r="14" spans="1:6" x14ac:dyDescent="0.25">
      <c r="A14" s="3" t="s">
        <v>139</v>
      </c>
      <c r="B14" s="4">
        <f>'Income Statement'!B31/'Income Statement'!B9</f>
        <v>0.16193371394676356</v>
      </c>
      <c r="C14" s="4">
        <f>'Income Statement'!C31/'Income Statement'!C9</f>
        <v>0.36233930296499961</v>
      </c>
      <c r="D14" s="4">
        <f>'Income Statement'!D31/'Income Statement'!D9</f>
        <v>0.25979010494752625</v>
      </c>
      <c r="E14" s="4">
        <f>'Income Statement'!E31/'Income Statement'!E9</f>
        <v>0.25609085913170909</v>
      </c>
      <c r="F14" s="4">
        <f>'Income Statement'!F31/'Income Statement'!F9</f>
        <v>0.35344827586206895</v>
      </c>
    </row>
    <row r="15" spans="1:6" x14ac:dyDescent="0.25">
      <c r="A15" s="3" t="s">
        <v>140</v>
      </c>
      <c r="B15" s="4">
        <f>'Income Statement'!B31/AVERAGE('Balance Sheet'!$B$25:$F$25)</f>
        <v>0.15086311106813016</v>
      </c>
      <c r="C15" s="4">
        <f>'Income Statement'!C31/AVERAGE('Balance Sheet'!$B$25:$F$25)</f>
        <v>0.33681709229313311</v>
      </c>
      <c r="D15" s="4">
        <f>'Income Statement'!D31/AVERAGE('Balance Sheet'!$B$25:$F$25)</f>
        <v>0.14961973377910712</v>
      </c>
      <c r="E15" s="4">
        <f>'Income Statement'!E31/AVERAGE('Balance Sheet'!$B$25:$F$25)</f>
        <v>9.6568969447456951E-2</v>
      </c>
      <c r="F15" s="4">
        <f>'Income Statement'!F31/AVERAGE('Balance Sheet'!$B$25:$F$25)</f>
        <v>0.14302292649567927</v>
      </c>
    </row>
    <row r="16" spans="1:6" x14ac:dyDescent="0.25">
      <c r="A16" s="3" t="s">
        <v>141</v>
      </c>
      <c r="B16" s="4">
        <f>'Income Statement'!B31/AVERAGE('Balance Sheet'!$B$46:$F$46)</f>
        <v>0.25059665871121717</v>
      </c>
      <c r="C16" s="4">
        <f>'Income Statement'!C31/AVERAGE('Balance Sheet'!$B$46:$F$46)</f>
        <v>0.55948228382595921</v>
      </c>
      <c r="D16" s="4">
        <f>'Income Statement'!D31/AVERAGE('Balance Sheet'!$B$46:$F$46)</f>
        <v>0.24853130163392692</v>
      </c>
      <c r="E16" s="4">
        <f>'Income Statement'!E31/AVERAGE('Balance Sheet'!$B$46:$F$46)</f>
        <v>0.16040939966954287</v>
      </c>
      <c r="F16" s="4">
        <f>'Income Statement'!F31/AVERAGE('Balance Sheet'!$B$46:$F$46)</f>
        <v>0.23757343491830366</v>
      </c>
    </row>
    <row r="18" spans="1:6" x14ac:dyDescent="0.25">
      <c r="A18" s="2" t="s">
        <v>142</v>
      </c>
    </row>
    <row r="19" spans="1:6" x14ac:dyDescent="0.25">
      <c r="A19" s="3" t="s">
        <v>143</v>
      </c>
      <c r="B19" s="5">
        <f>'Income Statement'!B10/AVERAGE('Balance Sheet'!$B$13:$F$13)</f>
        <v>4.7834321475625821</v>
      </c>
      <c r="C19" s="5">
        <f>'Income Statement'!C10/AVERAGE('Balance Sheet'!$B$13:$F$13)</f>
        <v>3.8862812911725957</v>
      </c>
      <c r="D19" s="5">
        <f>'Income Statement'!D10/AVERAGE('Balance Sheet'!$B$13:$F$13)</f>
        <v>2.5852272727272729</v>
      </c>
      <c r="E19" s="5">
        <f>'Income Statement'!E10/AVERAGE('Balance Sheet'!$B$13:$F$13)</f>
        <v>1.7086627140974968</v>
      </c>
      <c r="F19" s="5">
        <f>'Income Statement'!F10/AVERAGE('Balance Sheet'!$B$13:$F$13)</f>
        <v>1.8712944664031621</v>
      </c>
    </row>
    <row r="20" spans="1:6" x14ac:dyDescent="0.25">
      <c r="A20" s="3" t="s">
        <v>144</v>
      </c>
      <c r="B20" s="5">
        <f>365/B19</f>
        <v>76.305043897400594</v>
      </c>
      <c r="C20" s="5">
        <f t="shared" ref="C20:F20" si="1">365/C19</f>
        <v>93.920118656637356</v>
      </c>
      <c r="D20" s="5">
        <f t="shared" si="1"/>
        <v>141.18681318681317</v>
      </c>
      <c r="E20" s="5">
        <f t="shared" si="1"/>
        <v>213.61734939759035</v>
      </c>
      <c r="F20" s="5">
        <f t="shared" si="1"/>
        <v>195.05214521452146</v>
      </c>
    </row>
    <row r="21" spans="1:6" x14ac:dyDescent="0.25">
      <c r="A21" s="3" t="s">
        <v>145</v>
      </c>
      <c r="B21" s="5">
        <f>'Income Statement'!B9/AVERAGE('Balance Sheet'!$B$12:$F$12)</f>
        <v>9.6425252019732604</v>
      </c>
      <c r="C21" s="5">
        <f>'Income Statement'!C9/AVERAGE('Balance Sheet'!$B$12:$F$12)</f>
        <v>9.6210767140916573</v>
      </c>
      <c r="D21" s="5">
        <f>'Income Statement'!D9/AVERAGE('Balance Sheet'!$B$12:$F$12)</f>
        <v>5.9608922570958747</v>
      </c>
      <c r="E21" s="5">
        <f>'Income Statement'!E9/AVERAGE('Balance Sheet'!$B$12:$F$12)</f>
        <v>3.9029098448559378</v>
      </c>
      <c r="F21" s="5">
        <f>'Income Statement'!F9/AVERAGE('Balance Sheet'!$B$12:$F$12)</f>
        <v>4.1881747336812758</v>
      </c>
    </row>
    <row r="22" spans="1:6" x14ac:dyDescent="0.25">
      <c r="A22" s="3" t="s">
        <v>146</v>
      </c>
      <c r="B22" s="5">
        <f>365/B21</f>
        <v>37.853154889893972</v>
      </c>
      <c r="C22" s="5">
        <f t="shared" ref="C22:F22" si="2">365/C21</f>
        <v>37.937541799806787</v>
      </c>
      <c r="D22" s="5">
        <f t="shared" si="2"/>
        <v>61.232443778110948</v>
      </c>
      <c r="E22" s="5">
        <f t="shared" si="2"/>
        <v>93.519967026928001</v>
      </c>
      <c r="F22" s="5">
        <f t="shared" si="2"/>
        <v>87.150136565380663</v>
      </c>
    </row>
    <row r="23" spans="1:6" x14ac:dyDescent="0.25">
      <c r="A23" s="3" t="s">
        <v>147</v>
      </c>
      <c r="B23" s="5">
        <f>('Income Statement'!B10+'Balance Sheet'!B13-'Balance Sheet'!C13)/AVERAGE('Balance Sheet'!$B$26:$F$26)</f>
        <v>13.183255813953489</v>
      </c>
      <c r="C23" s="5">
        <f>('Income Statement'!C10+'Balance Sheet'!C13-'Balance Sheet'!D13)/AVERAGE('Balance Sheet'!$B$26:$F$26)</f>
        <v>9.5051162790697674</v>
      </c>
      <c r="D23" s="5">
        <f>('Income Statement'!D10+'Balance Sheet'!D13-'Balance Sheet'!E13)/AVERAGE('Balance Sheet'!$B$26:$F$26)</f>
        <v>6.6288372093023256</v>
      </c>
      <c r="E23" s="5">
        <f>('Income Statement'!E10+'Balance Sheet'!E13-'Balance Sheet'!F13)/AVERAGE('Balance Sheet'!$B$26:$F$26)</f>
        <v>3.306046511627907</v>
      </c>
    </row>
    <row r="24" spans="1:6" x14ac:dyDescent="0.25">
      <c r="A24" s="3" t="s">
        <v>148</v>
      </c>
      <c r="B24" s="5">
        <f>365/B23</f>
        <v>27.686635619531469</v>
      </c>
      <c r="C24" s="5">
        <f t="shared" ref="C24:E24" si="3">365/C23</f>
        <v>38.400371892738306</v>
      </c>
      <c r="D24" s="5">
        <f t="shared" si="3"/>
        <v>55.062447375806904</v>
      </c>
      <c r="E24" s="5">
        <f t="shared" si="3"/>
        <v>110.4037703995498</v>
      </c>
    </row>
    <row r="26" spans="1:6" x14ac:dyDescent="0.25">
      <c r="A26" s="2" t="s">
        <v>149</v>
      </c>
    </row>
    <row r="27" spans="1:6" x14ac:dyDescent="0.25">
      <c r="A27" s="3" t="s">
        <v>150</v>
      </c>
      <c r="B27" s="5">
        <f>'Balance Sheet'!B15/'Balance Sheet'!B31</f>
        <v>3.5156178576870332</v>
      </c>
      <c r="C27" s="5">
        <f>'Balance Sheet'!C15/'Balance Sheet'!C31</f>
        <v>6.6502883506343711</v>
      </c>
      <c r="D27" s="5">
        <f>'Balance Sheet'!D15/'Balance Sheet'!D31</f>
        <v>4.0904458598726112</v>
      </c>
      <c r="E27" s="5">
        <f>'Balance Sheet'!E15/'Balance Sheet'!E31</f>
        <v>7.6737668161434973</v>
      </c>
      <c r="F27" s="5">
        <f>'Balance Sheet'!F15/'Balance Sheet'!F31</f>
        <v>7.9435665914221216</v>
      </c>
    </row>
    <row r="28" spans="1:6" x14ac:dyDescent="0.25">
      <c r="A28" s="3" t="s">
        <v>151</v>
      </c>
      <c r="B28" s="5">
        <f>('Balance Sheet'!B11+'Balance Sheet'!B12)/'Balance Sheet'!B31</f>
        <v>2.6090202651226573</v>
      </c>
      <c r="C28" s="5">
        <f>('Balance Sheet'!C11+'Balance Sheet'!C12)/'Balance Sheet'!C31</f>
        <v>5.9649365628604381</v>
      </c>
      <c r="D28" s="5">
        <f>('Balance Sheet'!D11+'Balance Sheet'!D12)/'Balance Sheet'!D31</f>
        <v>3.5643312101910829</v>
      </c>
      <c r="E28" s="5">
        <f>('Balance Sheet'!E11+'Balance Sheet'!E12)/'Balance Sheet'!E31</f>
        <v>7.0369955156950672</v>
      </c>
      <c r="F28" s="5">
        <f>('Balance Sheet'!F11+'Balance Sheet'!F12)/'Balance Sheet'!F31</f>
        <v>6.6561324303987961</v>
      </c>
    </row>
    <row r="29" spans="1:6" x14ac:dyDescent="0.25">
      <c r="A29" s="3" t="s">
        <v>152</v>
      </c>
      <c r="B29" s="5">
        <f>'Balance Sheet'!B11/'Balance Sheet'!B31</f>
        <v>2.025902788358982</v>
      </c>
      <c r="C29" s="5">
        <f>'Balance Sheet'!C11/'Balance Sheet'!C31</f>
        <v>4.8922722029988464</v>
      </c>
      <c r="D29" s="5">
        <f>'Balance Sheet'!D11/'Balance Sheet'!D31</f>
        <v>2.9454777070063694</v>
      </c>
      <c r="E29" s="5">
        <f>'Balance Sheet'!E11/'Balance Sheet'!E31</f>
        <v>6.1081838565022419</v>
      </c>
      <c r="F29" s="5">
        <f>'Balance Sheet'!F11/'Balance Sheet'!F31</f>
        <v>5.5846501128668171</v>
      </c>
    </row>
    <row r="30" spans="1:6" x14ac:dyDescent="0.25">
      <c r="A30" s="3" t="s">
        <v>153</v>
      </c>
      <c r="B30" s="5">
        <f>B20+B22-B24</f>
        <v>86.471563167763094</v>
      </c>
      <c r="C30" s="5">
        <f t="shared" ref="C30:E30" si="4">C20+C22-C24</f>
        <v>93.457288563705831</v>
      </c>
      <c r="D30" s="5">
        <f t="shared" si="4"/>
        <v>147.3568095891172</v>
      </c>
      <c r="E30" s="5">
        <f t="shared" si="4"/>
        <v>196.73354602496858</v>
      </c>
    </row>
    <row r="32" spans="1:6" x14ac:dyDescent="0.25">
      <c r="A32" s="2" t="s">
        <v>154</v>
      </c>
    </row>
    <row r="33" spans="1:6" x14ac:dyDescent="0.25">
      <c r="A33" s="3" t="s">
        <v>155</v>
      </c>
      <c r="B33" s="5">
        <f>'Balance Sheet'!B51/'Balance Sheet'!B25</f>
        <v>0.28786848623184885</v>
      </c>
      <c r="C33" s="5">
        <f>'Balance Sheet'!C51/'Balance Sheet'!C25</f>
        <v>0.2644895557516917</v>
      </c>
      <c r="D33" s="5">
        <f>'Balance Sheet'!D51/'Balance Sheet'!D25</f>
        <v>0.26386718071619603</v>
      </c>
      <c r="E33" s="5">
        <f>'Balance Sheet'!E51/'Balance Sheet'!E25</f>
        <v>0.14738665896621425</v>
      </c>
      <c r="F33" s="5">
        <f>'Balance Sheet'!F51/'Balance Sheet'!F25</f>
        <v>0.14956364730665062</v>
      </c>
    </row>
    <row r="34" spans="1:6" x14ac:dyDescent="0.25">
      <c r="A34" s="3" t="s">
        <v>156</v>
      </c>
      <c r="B34" s="5">
        <f>'Balance Sheet'!B51/('Balance Sheet'!B51+'Balance Sheet'!B46)</f>
        <v>0.34912828366120863</v>
      </c>
      <c r="C34" s="5">
        <f>'Balance Sheet'!C51/('Balance Sheet'!C51+'Balance Sheet'!C46)</f>
        <v>0.30515157053708974</v>
      </c>
      <c r="D34" s="5">
        <f>'Balance Sheet'!D51/('Balance Sheet'!D51+'Balance Sheet'!D46)</f>
        <v>0.31020824826459781</v>
      </c>
      <c r="E34" s="5">
        <f>'Balance Sheet'!E51/('Balance Sheet'!E51+'Balance Sheet'!E46)</f>
        <v>0.17294659799403633</v>
      </c>
      <c r="F34" s="5">
        <f>'Balance Sheet'!F51/('Balance Sheet'!F51+'Balance Sheet'!F46)</f>
        <v>0.17546337157987643</v>
      </c>
    </row>
    <row r="35" spans="1:6" x14ac:dyDescent="0.25">
      <c r="A35" s="3" t="s">
        <v>157</v>
      </c>
      <c r="B35" s="5">
        <f>'Balance Sheet'!B51/'Balance Sheet'!B46</f>
        <v>0.53640106782498531</v>
      </c>
      <c r="C35" s="5">
        <f>'Balance Sheet'!C51/'Balance Sheet'!C46</f>
        <v>0.4391627837065985</v>
      </c>
      <c r="D35" s="5">
        <f>'Balance Sheet'!D51/'Balance Sheet'!D46</f>
        <v>0.44971289883383653</v>
      </c>
      <c r="E35" s="5">
        <f>'Balance Sheet'!E51/'Balance Sheet'!E46</f>
        <v>0.20911176663389053</v>
      </c>
      <c r="F35" s="5">
        <f>'Balance Sheet'!F51/'Balance Sheet'!F46</f>
        <v>0.21280239777349605</v>
      </c>
    </row>
    <row r="36" spans="1:6" x14ac:dyDescent="0.25">
      <c r="A36" s="3" t="s">
        <v>158</v>
      </c>
      <c r="B36" s="5">
        <f>AVERAGE('Balance Sheet'!B25:F25)/AVERAGE('Balance Sheet'!B46:F46)</f>
        <v>1.6610863778226548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 Statement</vt:lpstr>
      <vt:lpstr>Balance Sheet</vt:lpstr>
      <vt:lpstr>Cash Flow Statement</vt:lpstr>
      <vt:lpstr>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Siddharth Singh</cp:lastModifiedBy>
  <dcterms:created xsi:type="dcterms:W3CDTF">2024-01-15T04:15:09Z</dcterms:created>
  <dcterms:modified xsi:type="dcterms:W3CDTF">2024-01-20T04:12:58Z</dcterms:modified>
</cp:coreProperties>
</file>